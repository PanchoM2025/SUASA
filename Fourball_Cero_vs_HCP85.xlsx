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ropbox\Claude\GOLF\SUASA\"/>
    </mc:Choice>
  </mc:AlternateContent>
  <xr:revisionPtr revIDLastSave="0" documentId="13_ncr:1_{B45049C8-BE1A-4810-8740-8B0517EE4038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Fourb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I24" i="1"/>
  <c r="Q13" i="1"/>
  <c r="J13" i="1"/>
  <c r="G8" i="1"/>
  <c r="F8" i="1"/>
  <c r="E8" i="1"/>
  <c r="D8" i="1"/>
  <c r="G7" i="1"/>
  <c r="F7" i="1"/>
  <c r="E7" i="1"/>
  <c r="D7" i="1"/>
  <c r="S30" i="1" l="1"/>
  <c r="S17" i="1"/>
  <c r="S24" i="1"/>
  <c r="S19" i="1"/>
  <c r="S22" i="1"/>
  <c r="S14" i="1"/>
  <c r="S25" i="1"/>
  <c r="S18" i="1"/>
  <c r="S29" i="1"/>
  <c r="S27" i="1"/>
  <c r="S20" i="1"/>
  <c r="S28" i="1"/>
  <c r="S12" i="1"/>
  <c r="S16" i="1"/>
  <c r="S15" i="1"/>
  <c r="S13" i="1"/>
  <c r="S23" i="1"/>
  <c r="S26" i="1"/>
  <c r="R30" i="1"/>
  <c r="R22" i="1"/>
  <c r="U22" i="1" s="1"/>
  <c r="R25" i="1"/>
  <c r="U25" i="1" s="1"/>
  <c r="R23" i="1"/>
  <c r="R14" i="1"/>
  <c r="R13" i="1"/>
  <c r="R29" i="1"/>
  <c r="R28" i="1"/>
  <c r="R12" i="1"/>
  <c r="R15" i="1"/>
  <c r="R27" i="1"/>
  <c r="R26" i="1"/>
  <c r="R19" i="1"/>
  <c r="R16" i="1"/>
  <c r="R24" i="1"/>
  <c r="R17" i="1"/>
  <c r="R18" i="1"/>
  <c r="R20" i="1"/>
  <c r="Q30" i="1"/>
  <c r="Q17" i="1"/>
  <c r="Q23" i="1"/>
  <c r="Q16" i="1"/>
  <c r="Q15" i="1"/>
  <c r="Q28" i="1"/>
  <c r="Q18" i="1"/>
  <c r="Q24" i="1"/>
  <c r="Q19" i="1"/>
  <c r="Q29" i="1"/>
  <c r="Q14" i="1"/>
  <c r="Q27" i="1"/>
  <c r="Q20" i="1"/>
  <c r="Q22" i="1"/>
  <c r="Q26" i="1"/>
  <c r="Q12" i="1"/>
  <c r="Q25" i="1"/>
  <c r="P30" i="1"/>
  <c r="P15" i="1"/>
  <c r="P17" i="1"/>
  <c r="P22" i="1"/>
  <c r="P25" i="1"/>
  <c r="P27" i="1"/>
  <c r="P20" i="1"/>
  <c r="P19" i="1"/>
  <c r="P26" i="1"/>
  <c r="P14" i="1"/>
  <c r="P13" i="1"/>
  <c r="P23" i="1"/>
  <c r="P16" i="1"/>
  <c r="P28" i="1"/>
  <c r="P18" i="1"/>
  <c r="P29" i="1"/>
  <c r="P12" i="1"/>
  <c r="L23" i="1"/>
  <c r="L22" i="1"/>
  <c r="L18" i="1"/>
  <c r="L17" i="1"/>
  <c r="L16" i="1"/>
  <c r="L15" i="1"/>
  <c r="L30" i="1"/>
  <c r="L20" i="1"/>
  <c r="L26" i="1"/>
  <c r="L25" i="1"/>
  <c r="L13" i="1"/>
  <c r="L24" i="1"/>
  <c r="L19" i="1"/>
  <c r="L29" i="1"/>
  <c r="L27" i="1"/>
  <c r="L28" i="1"/>
  <c r="L14" i="1"/>
  <c r="L12" i="1"/>
  <c r="K14" i="1"/>
  <c r="K29" i="1"/>
  <c r="K19" i="1"/>
  <c r="K18" i="1"/>
  <c r="K20" i="1"/>
  <c r="K24" i="1"/>
  <c r="K16" i="1"/>
  <c r="K23" i="1"/>
  <c r="K27" i="1"/>
  <c r="K25" i="1"/>
  <c r="K12" i="1"/>
  <c r="K17" i="1"/>
  <c r="K30" i="1"/>
  <c r="K13" i="1"/>
  <c r="K26" i="1"/>
  <c r="K28" i="1"/>
  <c r="K15" i="1"/>
  <c r="K22" i="1"/>
  <c r="J18" i="1"/>
  <c r="J19" i="1"/>
  <c r="J20" i="1"/>
  <c r="J24" i="1"/>
  <c r="M24" i="1" s="1"/>
  <c r="J17" i="1"/>
  <c r="J25" i="1"/>
  <c r="J26" i="1"/>
  <c r="J30" i="1"/>
  <c r="J16" i="1"/>
  <c r="J15" i="1"/>
  <c r="J23" i="1"/>
  <c r="J14" i="1"/>
  <c r="J27" i="1"/>
  <c r="J28" i="1"/>
  <c r="J12" i="1"/>
  <c r="J29" i="1"/>
  <c r="J22" i="1"/>
  <c r="I27" i="1"/>
  <c r="I15" i="1"/>
  <c r="I14" i="1"/>
  <c r="M14" i="1" s="1"/>
  <c r="I25" i="1"/>
  <c r="M25" i="1" s="1"/>
  <c r="I28" i="1"/>
  <c r="M28" i="1" s="1"/>
  <c r="I17" i="1"/>
  <c r="M17" i="1" s="1"/>
  <c r="I19" i="1"/>
  <c r="I12" i="1"/>
  <c r="I30" i="1"/>
  <c r="I18" i="1"/>
  <c r="I23" i="1"/>
  <c r="I16" i="1"/>
  <c r="I26" i="1"/>
  <c r="M26" i="1" s="1"/>
  <c r="I22" i="1"/>
  <c r="M22" i="1" s="1"/>
  <c r="I20" i="1"/>
  <c r="M20" i="1" s="1"/>
  <c r="I29" i="1"/>
  <c r="I13" i="1"/>
  <c r="M13" i="1" s="1"/>
  <c r="N30" i="1" l="1"/>
  <c r="M15" i="1"/>
  <c r="U23" i="1"/>
  <c r="M19" i="1"/>
  <c r="M12" i="1"/>
  <c r="M23" i="1"/>
  <c r="M16" i="1"/>
  <c r="U14" i="1"/>
  <c r="U13" i="1"/>
  <c r="U29" i="1"/>
  <c r="U28" i="1"/>
  <c r="U12" i="1"/>
  <c r="U15" i="1"/>
  <c r="U27" i="1"/>
  <c r="U26" i="1"/>
  <c r="U19" i="1"/>
  <c r="U16" i="1"/>
  <c r="U24" i="1"/>
  <c r="U17" i="1"/>
  <c r="U18" i="1"/>
  <c r="U20" i="1"/>
  <c r="T24" i="1"/>
  <c r="T30" i="1"/>
  <c r="T15" i="1"/>
  <c r="T17" i="1"/>
  <c r="T22" i="1"/>
  <c r="T25" i="1"/>
  <c r="T27" i="1"/>
  <c r="T20" i="1"/>
  <c r="T19" i="1"/>
  <c r="T26" i="1"/>
  <c r="T14" i="1"/>
  <c r="N19" i="1"/>
  <c r="N20" i="1"/>
  <c r="M29" i="1"/>
  <c r="T13" i="1"/>
  <c r="T23" i="1"/>
  <c r="T16" i="1"/>
  <c r="T28" i="1"/>
  <c r="T18" i="1"/>
  <c r="T29" i="1"/>
  <c r="T12" i="1"/>
  <c r="N14" i="1"/>
  <c r="M27" i="1"/>
  <c r="M30" i="1"/>
  <c r="U30" i="1"/>
  <c r="N29" i="1"/>
  <c r="N18" i="1"/>
  <c r="M18" i="1"/>
  <c r="N24" i="1"/>
  <c r="N16" i="1"/>
  <c r="N23" i="1"/>
  <c r="N27" i="1"/>
  <c r="N25" i="1"/>
  <c r="N12" i="1"/>
  <c r="N17" i="1"/>
  <c r="N13" i="1"/>
  <c r="N26" i="1"/>
  <c r="N28" i="1"/>
  <c r="N15" i="1"/>
  <c r="N22" i="1"/>
  <c r="M31" i="1" l="1"/>
  <c r="U32" i="1"/>
  <c r="U21" i="1"/>
  <c r="T32" i="1"/>
  <c r="T21" i="1"/>
  <c r="N32" i="1"/>
  <c r="N21" i="1"/>
  <c r="U31" i="1"/>
  <c r="N31" i="1"/>
  <c r="I36" i="1" s="1"/>
  <c r="T31" i="1"/>
  <c r="M21" i="1"/>
  <c r="I35" i="1" s="1"/>
  <c r="M32" i="1"/>
  <c r="I37" i="1" s="1"/>
  <c r="P37" i="1" l="1"/>
  <c r="P35" i="1"/>
  <c r="P36" i="1"/>
</calcChain>
</file>

<file path=xl/sharedStrings.xml><?xml version="1.0" encoding="utf-8"?>
<sst xmlns="http://schemas.openxmlformats.org/spreadsheetml/2006/main" count="50" uniqueCount="34">
  <si>
    <t>Fourball a la 1ª y 2ª mejores — Bajando a cero vs HCP completo (85%)</t>
  </si>
  <si>
    <t>Equipo A: EA / PM   ·   Equipo B: LD / FL   ·   1° neto = 2 pts, 2° neto = 1 pt, empate = 0   ·   X = levantó</t>
  </si>
  <si>
    <t>Equipo A</t>
  </si>
  <si>
    <t>Equipo B</t>
  </si>
  <si>
    <t>Jugador</t>
  </si>
  <si>
    <t>EA</t>
  </si>
  <si>
    <t>PM</t>
  </si>
  <si>
    <t>LD</t>
  </si>
  <si>
    <t>FL</t>
  </si>
  <si>
    <t>HCP</t>
  </si>
  <si>
    <t>← HCP de cada uno (editable)</t>
  </si>
  <si>
    <t>Golpes bajando a cero (85%)</t>
  </si>
  <si>
    <t>85% de la diferencia con el más bajo</t>
  </si>
  <si>
    <t>Golpes HCP completo (85%)</t>
  </si>
  <si>
    <t>85% de cada uno contra la cancha</t>
  </si>
  <si>
    <t>Score bruto</t>
  </si>
  <si>
    <t>BAJANDO A CERO</t>
  </si>
  <si>
    <t>HCP COMPLETO (85% de c/u)</t>
  </si>
  <si>
    <t>Hoyo</t>
  </si>
  <si>
    <t>Par</t>
  </si>
  <si>
    <t>Eq A</t>
  </si>
  <si>
    <t>Eq B</t>
  </si>
  <si>
    <t>X</t>
  </si>
  <si>
    <t>Ida</t>
  </si>
  <si>
    <t>Vuelta</t>
  </si>
  <si>
    <t>TOTAL</t>
  </si>
  <si>
    <t>Resumen</t>
  </si>
  <si>
    <t>Bajando a cero</t>
  </si>
  <si>
    <t>HCP completo (85%)</t>
  </si>
  <si>
    <t>Dif. Ida</t>
  </si>
  <si>
    <t>Dif. Vuelta</t>
  </si>
  <si>
    <t>Dif. Match</t>
  </si>
  <si>
    <t>Celdas en azul con fondo amarillo / scores en azul = datos cargados de la tarjeta (se pueden cambiar). Todo lo demás se calcula solo.</t>
  </si>
  <si>
    <t>Golpes por hoyo = ENTERO(HCP/18) + 1 si (resto de HCP/18) ≥ HCP del hoyo. Redondeo del 85%: al entero más cercano (igual que la app).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</si>
</sst>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9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ck">
        <color theme="1"/>
      </right>
      <top/>
      <bottom style="thin">
        <color rgb="FF999999"/>
      </bottom>
      <diagonal/>
    </border>
    <border>
      <left style="thick">
        <color theme="1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ck">
        <color theme="1"/>
      </right>
      <top style="thin">
        <color rgb="FF999999"/>
      </top>
      <bottom style="thin">
        <color rgb="FF999999"/>
      </bottom>
      <diagonal/>
    </border>
    <border>
      <left style="thick">
        <color theme="1"/>
      </left>
      <right style="thick">
        <color theme="1"/>
      </right>
      <top/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>
      <pane xSplit="3" ySplit="11" topLeftCell="D12" activePane="bottomRight" state="frozen"/>
      <selection pane="topRight"/>
      <selection pane="bottomLeft"/>
      <selection pane="bottomRight" activeCell="N26" sqref="N25:N26"/>
    </sheetView>
  </sheetViews>
  <sheetFormatPr baseColWidth="10" defaultColWidth="8.796875" defaultRowHeight="14.4" x14ac:dyDescent="0.3"/>
  <cols>
    <col min="1" max="1" width="8" customWidth="1"/>
    <col min="2" max="2" width="6.5" customWidth="1"/>
    <col min="3" max="3" width="27" customWidth="1"/>
    <col min="4" max="7" width="6.5" customWidth="1"/>
    <col min="8" max="8" width="3" customWidth="1"/>
    <col min="9" max="14" width="5.59765625" customWidth="1"/>
    <col min="15" max="15" width="3" customWidth="1"/>
    <col min="16" max="21" width="5.3984375" customWidth="1"/>
  </cols>
  <sheetData>
    <row r="1" spans="1:21" ht="16.7" customHeight="1" x14ac:dyDescent="0.3">
      <c r="A1" s="1" t="s">
        <v>0</v>
      </c>
    </row>
    <row r="2" spans="1:21" x14ac:dyDescent="0.3">
      <c r="A2" s="2" t="s">
        <v>1</v>
      </c>
    </row>
    <row r="4" spans="1:21" x14ac:dyDescent="0.3">
      <c r="D4" s="23" t="s">
        <v>2</v>
      </c>
      <c r="E4" s="24"/>
      <c r="F4" s="23" t="s">
        <v>3</v>
      </c>
      <c r="G4" s="24"/>
    </row>
    <row r="5" spans="1:21" x14ac:dyDescent="0.3">
      <c r="C5" s="3" t="s">
        <v>4</v>
      </c>
      <c r="D5" s="11" t="s">
        <v>5</v>
      </c>
      <c r="E5" s="12" t="s">
        <v>6</v>
      </c>
      <c r="F5" s="17" t="s">
        <v>7</v>
      </c>
      <c r="G5" s="18" t="s">
        <v>8</v>
      </c>
    </row>
    <row r="6" spans="1:21" x14ac:dyDescent="0.3">
      <c r="C6" s="3" t="s">
        <v>9</v>
      </c>
      <c r="D6" s="13">
        <v>15</v>
      </c>
      <c r="E6" s="14">
        <v>24</v>
      </c>
      <c r="F6" s="19">
        <v>14</v>
      </c>
      <c r="G6" s="20">
        <v>28</v>
      </c>
      <c r="H6" s="2" t="s">
        <v>10</v>
      </c>
    </row>
    <row r="7" spans="1:21" x14ac:dyDescent="0.3">
      <c r="C7" s="3" t="s">
        <v>11</v>
      </c>
      <c r="D7" s="15">
        <f>ROUND((D6-MIN($D$6:$G$6))*0.85,0)</f>
        <v>1</v>
      </c>
      <c r="E7" s="16">
        <f>ROUND((E6-MIN($D$6:$G$6))*0.85,0)</f>
        <v>9</v>
      </c>
      <c r="F7" s="21">
        <f>ROUND((F6-MIN($D$6:$G$6))*0.85,0)</f>
        <v>0</v>
      </c>
      <c r="G7" s="22">
        <f>ROUND((G6-MIN($D$6:$G$6))*0.85,0)</f>
        <v>12</v>
      </c>
      <c r="H7" s="2" t="s">
        <v>12</v>
      </c>
    </row>
    <row r="8" spans="1:21" x14ac:dyDescent="0.3">
      <c r="C8" s="3" t="s">
        <v>13</v>
      </c>
      <c r="D8" s="15">
        <f>ROUND(D6*0.85,0)</f>
        <v>13</v>
      </c>
      <c r="E8" s="16">
        <f>ROUND(E6*0.85,0)</f>
        <v>20</v>
      </c>
      <c r="F8" s="21">
        <f>ROUND(F6*0.85,0)</f>
        <v>12</v>
      </c>
      <c r="G8" s="22">
        <f>ROUND(G6*0.85,0)</f>
        <v>24</v>
      </c>
      <c r="H8" s="2" t="s">
        <v>14</v>
      </c>
    </row>
    <row r="10" spans="1:21" x14ac:dyDescent="0.3">
      <c r="D10" s="29" t="s">
        <v>15</v>
      </c>
      <c r="E10" s="26"/>
      <c r="F10" s="26"/>
      <c r="G10" s="26"/>
      <c r="I10" s="28" t="s">
        <v>16</v>
      </c>
      <c r="J10" s="26"/>
      <c r="K10" s="26"/>
      <c r="L10" s="26"/>
      <c r="M10" s="26"/>
      <c r="N10" s="26"/>
      <c r="P10" s="27" t="s">
        <v>17</v>
      </c>
      <c r="Q10" s="26"/>
      <c r="R10" s="26"/>
      <c r="S10" s="26"/>
      <c r="T10" s="26"/>
      <c r="U10" s="26"/>
    </row>
    <row r="11" spans="1:21" x14ac:dyDescent="0.3">
      <c r="A11" s="4" t="s">
        <v>18</v>
      </c>
      <c r="B11" s="4" t="s">
        <v>19</v>
      </c>
      <c r="C11" s="4" t="s">
        <v>9</v>
      </c>
      <c r="D11" s="4" t="s">
        <v>5</v>
      </c>
      <c r="E11" s="4" t="s">
        <v>6</v>
      </c>
      <c r="F11" s="4" t="s">
        <v>7</v>
      </c>
      <c r="G11" s="4" t="s">
        <v>8</v>
      </c>
      <c r="H11" s="6"/>
      <c r="I11" s="4" t="s">
        <v>5</v>
      </c>
      <c r="J11" s="4" t="s">
        <v>6</v>
      </c>
      <c r="K11" s="4" t="s">
        <v>7</v>
      </c>
      <c r="L11" s="4" t="s">
        <v>8</v>
      </c>
      <c r="M11" s="4" t="s">
        <v>20</v>
      </c>
      <c r="N11" s="4" t="s">
        <v>21</v>
      </c>
      <c r="O11" s="6"/>
      <c r="P11" s="4" t="s">
        <v>5</v>
      </c>
      <c r="Q11" s="4" t="s">
        <v>6</v>
      </c>
      <c r="R11" s="4" t="s">
        <v>7</v>
      </c>
      <c r="S11" s="4" t="s">
        <v>8</v>
      </c>
      <c r="T11" s="4" t="s">
        <v>20</v>
      </c>
      <c r="U11" s="4" t="s">
        <v>21</v>
      </c>
    </row>
    <row r="12" spans="1:21" x14ac:dyDescent="0.3">
      <c r="A12" s="5">
        <v>1</v>
      </c>
      <c r="B12" s="5">
        <v>4</v>
      </c>
      <c r="C12" s="5">
        <v>11</v>
      </c>
      <c r="D12" s="7">
        <v>3</v>
      </c>
      <c r="E12" s="7">
        <v>5</v>
      </c>
      <c r="F12" s="7">
        <v>4</v>
      </c>
      <c r="G12" s="7">
        <v>7</v>
      </c>
      <c r="I12" s="5">
        <f t="shared" ref="I12:I20" si="0">IF(D12="X","X",D12-(INT(D$7/18)+IF(MOD(D$7,18)&gt;=$C12,1,0)))</f>
        <v>3</v>
      </c>
      <c r="J12" s="5">
        <f t="shared" ref="J12:J20" si="1">IF(E12="X","X",E12-(INT(E$7/18)+IF(MOD(E$7,18)&gt;=$C12,1,0)))</f>
        <v>5</v>
      </c>
      <c r="K12" s="5">
        <f t="shared" ref="K12:K20" si="2">IF(F12="X","X",F12-(INT(F$7/18)+IF(MOD(F$7,18)&gt;=$C12,1,0)))</f>
        <v>4</v>
      </c>
      <c r="L12" s="5">
        <f t="shared" ref="L12:L20" si="3">IF(G12="X","X",G12-(INT(G$7/18)+IF(MOD(G$7,18)&gt;=$C12,1,0)))</f>
        <v>6</v>
      </c>
      <c r="M12" s="8">
        <f t="shared" ref="M12:M20" si="4">IF(MIN(IF(I12="X",99,I12),IF(J12="X",99,J12))&lt;MIN(IF(K12="X",99,K12),IF(L12="X",99,L12)),2,0)+IF(MAX(IF(I12="X",99,I12),IF(J12="X",99,J12))&lt;MAX(IF(K12="X",99,K12),IF(L12="X",99,L12)),1,0)</f>
        <v>3</v>
      </c>
      <c r="N12" s="8">
        <f t="shared" ref="N12:N20" si="5">IF(MIN(IF(K12="X",99,K12),IF(L12="X",99,L12))&lt;MIN(IF(I12="X",99,I12),IF(J12="X",99,J12)),2,0)+IF(MAX(IF(K12="X",99,K12),IF(L12="X",99,L12))&lt;MAX(IF(I12="X",99,I12),IF(J12="X",99,J12)),1,0)</f>
        <v>0</v>
      </c>
      <c r="P12" s="5">
        <f t="shared" ref="P12:P20" si="6">IF(D12="X","X",D12-(INT(D$8/18)+IF(MOD(D$8,18)&gt;=$C12,1,0)))</f>
        <v>2</v>
      </c>
      <c r="Q12" s="5">
        <f t="shared" ref="Q12:Q20" si="7">IF(E12="X","X",E12-(INT(E$8/18)+IF(MOD(E$8,18)&gt;=$C12,1,0)))</f>
        <v>4</v>
      </c>
      <c r="R12" s="5">
        <f t="shared" ref="R12:R20" si="8">IF(F12="X","X",F12-(INT(F$8/18)+IF(MOD(F$8,18)&gt;=$C12,1,0)))</f>
        <v>3</v>
      </c>
      <c r="S12" s="5">
        <f t="shared" ref="S12:S20" si="9">IF(G12="X","X",G12-(INT(G$8/18)+IF(MOD(G$8,18)&gt;=$C12,1,0)))</f>
        <v>6</v>
      </c>
      <c r="T12" s="8">
        <f t="shared" ref="T12:T20" si="10">IF(MIN(IF(P12="X",99,P12),IF(Q12="X",99,Q12))&lt;MIN(IF(R12="X",99,R12),IF(S12="X",99,S12)),2,0)+IF(MAX(IF(P12="X",99,P12),IF(Q12="X",99,Q12))&lt;MAX(IF(R12="X",99,R12),IF(S12="X",99,S12)),1,0)</f>
        <v>3</v>
      </c>
      <c r="U12" s="8">
        <f t="shared" ref="U12:U20" si="11">IF(MIN(IF(R12="X",99,R12),IF(S12="X",99,S12))&lt;MIN(IF(P12="X",99,P12),IF(Q12="X",99,Q12)),2,0)+IF(MAX(IF(R12="X",99,R12),IF(S12="X",99,S12))&lt;MAX(IF(P12="X",99,P12),IF(Q12="X",99,Q12)),1,0)</f>
        <v>0</v>
      </c>
    </row>
    <row r="13" spans="1:21" x14ac:dyDescent="0.3">
      <c r="A13" s="5">
        <v>2</v>
      </c>
      <c r="B13" s="5">
        <v>4</v>
      </c>
      <c r="C13" s="5">
        <v>3</v>
      </c>
      <c r="D13" s="7">
        <v>5</v>
      </c>
      <c r="E13" s="7" t="s">
        <v>22</v>
      </c>
      <c r="F13" s="7">
        <v>4</v>
      </c>
      <c r="G13" s="7">
        <v>5</v>
      </c>
      <c r="I13" s="5">
        <f t="shared" si="0"/>
        <v>5</v>
      </c>
      <c r="J13" s="5" t="str">
        <f t="shared" si="1"/>
        <v>X</v>
      </c>
      <c r="K13" s="5">
        <f t="shared" si="2"/>
        <v>4</v>
      </c>
      <c r="L13" s="5">
        <f t="shared" si="3"/>
        <v>4</v>
      </c>
      <c r="M13" s="8">
        <f t="shared" si="4"/>
        <v>0</v>
      </c>
      <c r="N13" s="8">
        <f t="shared" si="5"/>
        <v>3</v>
      </c>
      <c r="P13" s="5">
        <f t="shared" si="6"/>
        <v>4</v>
      </c>
      <c r="Q13" s="5" t="str">
        <f t="shared" si="7"/>
        <v>X</v>
      </c>
      <c r="R13" s="5">
        <f t="shared" si="8"/>
        <v>3</v>
      </c>
      <c r="S13" s="5">
        <f t="shared" si="9"/>
        <v>3</v>
      </c>
      <c r="T13" s="8">
        <f t="shared" si="10"/>
        <v>0</v>
      </c>
      <c r="U13" s="8">
        <f t="shared" si="11"/>
        <v>3</v>
      </c>
    </row>
    <row r="14" spans="1:21" x14ac:dyDescent="0.3">
      <c r="A14" s="5">
        <v>3</v>
      </c>
      <c r="B14" s="5">
        <v>4</v>
      </c>
      <c r="C14" s="5">
        <v>7</v>
      </c>
      <c r="D14" s="7">
        <v>5</v>
      </c>
      <c r="E14" s="7">
        <v>6</v>
      </c>
      <c r="F14" s="7">
        <v>5</v>
      </c>
      <c r="G14" s="7">
        <v>6</v>
      </c>
      <c r="I14" s="5">
        <f t="shared" si="0"/>
        <v>5</v>
      </c>
      <c r="J14" s="5">
        <f t="shared" si="1"/>
        <v>5</v>
      </c>
      <c r="K14" s="5">
        <f t="shared" si="2"/>
        <v>5</v>
      </c>
      <c r="L14" s="5">
        <f t="shared" si="3"/>
        <v>5</v>
      </c>
      <c r="M14" s="8">
        <f t="shared" si="4"/>
        <v>0</v>
      </c>
      <c r="N14" s="8">
        <f t="shared" si="5"/>
        <v>0</v>
      </c>
      <c r="P14" s="5">
        <f t="shared" si="6"/>
        <v>4</v>
      </c>
      <c r="Q14" s="5">
        <f t="shared" si="7"/>
        <v>5</v>
      </c>
      <c r="R14" s="5">
        <f t="shared" si="8"/>
        <v>4</v>
      </c>
      <c r="S14" s="5">
        <f t="shared" si="9"/>
        <v>5</v>
      </c>
      <c r="T14" s="8">
        <f t="shared" si="10"/>
        <v>0</v>
      </c>
      <c r="U14" s="8">
        <f t="shared" si="11"/>
        <v>0</v>
      </c>
    </row>
    <row r="15" spans="1:21" x14ac:dyDescent="0.3">
      <c r="A15" s="5">
        <v>4</v>
      </c>
      <c r="B15" s="5">
        <v>4</v>
      </c>
      <c r="C15" s="5">
        <v>9</v>
      </c>
      <c r="D15" s="7">
        <v>6</v>
      </c>
      <c r="E15" s="7">
        <v>5</v>
      </c>
      <c r="F15" s="7">
        <v>5</v>
      </c>
      <c r="G15" s="7">
        <v>6</v>
      </c>
      <c r="I15" s="5">
        <f t="shared" si="0"/>
        <v>6</v>
      </c>
      <c r="J15" s="5">
        <f t="shared" si="1"/>
        <v>4</v>
      </c>
      <c r="K15" s="5">
        <f t="shared" si="2"/>
        <v>5</v>
      </c>
      <c r="L15" s="5">
        <f t="shared" si="3"/>
        <v>5</v>
      </c>
      <c r="M15" s="8">
        <f t="shared" si="4"/>
        <v>2</v>
      </c>
      <c r="N15" s="8">
        <f t="shared" si="5"/>
        <v>1</v>
      </c>
      <c r="P15" s="5">
        <f t="shared" si="6"/>
        <v>5</v>
      </c>
      <c r="Q15" s="5">
        <f t="shared" si="7"/>
        <v>4</v>
      </c>
      <c r="R15" s="5">
        <f t="shared" si="8"/>
        <v>4</v>
      </c>
      <c r="S15" s="5">
        <f t="shared" si="9"/>
        <v>5</v>
      </c>
      <c r="T15" s="8">
        <f t="shared" si="10"/>
        <v>0</v>
      </c>
      <c r="U15" s="8">
        <f t="shared" si="11"/>
        <v>0</v>
      </c>
    </row>
    <row r="16" spans="1:21" x14ac:dyDescent="0.3">
      <c r="A16" s="5">
        <v>5</v>
      </c>
      <c r="B16" s="5">
        <v>3</v>
      </c>
      <c r="C16" s="5">
        <v>17</v>
      </c>
      <c r="D16" s="7">
        <v>3</v>
      </c>
      <c r="E16" s="7">
        <v>4</v>
      </c>
      <c r="F16" s="7">
        <v>4</v>
      </c>
      <c r="G16" s="7">
        <v>4</v>
      </c>
      <c r="I16" s="5">
        <f t="shared" si="0"/>
        <v>3</v>
      </c>
      <c r="J16" s="5">
        <f t="shared" si="1"/>
        <v>4</v>
      </c>
      <c r="K16" s="5">
        <f t="shared" si="2"/>
        <v>4</v>
      </c>
      <c r="L16" s="5">
        <f t="shared" si="3"/>
        <v>4</v>
      </c>
      <c r="M16" s="8">
        <f t="shared" si="4"/>
        <v>2</v>
      </c>
      <c r="N16" s="8">
        <f t="shared" si="5"/>
        <v>0</v>
      </c>
      <c r="P16" s="5">
        <f t="shared" si="6"/>
        <v>3</v>
      </c>
      <c r="Q16" s="5">
        <f t="shared" si="7"/>
        <v>3</v>
      </c>
      <c r="R16" s="5">
        <f t="shared" si="8"/>
        <v>4</v>
      </c>
      <c r="S16" s="5">
        <f t="shared" si="9"/>
        <v>3</v>
      </c>
      <c r="T16" s="8">
        <f t="shared" si="10"/>
        <v>1</v>
      </c>
      <c r="U16" s="8">
        <f t="shared" si="11"/>
        <v>0</v>
      </c>
    </row>
    <row r="17" spans="1:21" x14ac:dyDescent="0.3">
      <c r="A17" s="5">
        <v>6</v>
      </c>
      <c r="B17" s="5">
        <v>5</v>
      </c>
      <c r="C17" s="5">
        <v>13</v>
      </c>
      <c r="D17" s="7">
        <v>6</v>
      </c>
      <c r="E17" s="7">
        <v>8</v>
      </c>
      <c r="F17" s="7">
        <v>6</v>
      </c>
      <c r="G17" s="7">
        <v>8</v>
      </c>
      <c r="I17" s="5">
        <f t="shared" si="0"/>
        <v>6</v>
      </c>
      <c r="J17" s="5">
        <f t="shared" si="1"/>
        <v>8</v>
      </c>
      <c r="K17" s="5">
        <f t="shared" si="2"/>
        <v>6</v>
      </c>
      <c r="L17" s="5">
        <f t="shared" si="3"/>
        <v>8</v>
      </c>
      <c r="M17" s="8">
        <f t="shared" si="4"/>
        <v>0</v>
      </c>
      <c r="N17" s="8">
        <f t="shared" si="5"/>
        <v>0</v>
      </c>
      <c r="P17" s="5">
        <f t="shared" si="6"/>
        <v>5</v>
      </c>
      <c r="Q17" s="5">
        <f t="shared" si="7"/>
        <v>7</v>
      </c>
      <c r="R17" s="5">
        <f t="shared" si="8"/>
        <v>6</v>
      </c>
      <c r="S17" s="5">
        <f t="shared" si="9"/>
        <v>7</v>
      </c>
      <c r="T17" s="8">
        <f t="shared" si="10"/>
        <v>2</v>
      </c>
      <c r="U17" s="8">
        <f t="shared" si="11"/>
        <v>0</v>
      </c>
    </row>
    <row r="18" spans="1:21" x14ac:dyDescent="0.3">
      <c r="A18" s="5">
        <v>7</v>
      </c>
      <c r="B18" s="5">
        <v>3</v>
      </c>
      <c r="C18" s="5">
        <v>15</v>
      </c>
      <c r="D18" s="7">
        <v>4</v>
      </c>
      <c r="E18" s="7">
        <v>4</v>
      </c>
      <c r="F18" s="7">
        <v>4</v>
      </c>
      <c r="G18" s="7">
        <v>5</v>
      </c>
      <c r="I18" s="5">
        <f t="shared" si="0"/>
        <v>4</v>
      </c>
      <c r="J18" s="5">
        <f t="shared" si="1"/>
        <v>4</v>
      </c>
      <c r="K18" s="5">
        <f t="shared" si="2"/>
        <v>4</v>
      </c>
      <c r="L18" s="5">
        <f t="shared" si="3"/>
        <v>5</v>
      </c>
      <c r="M18" s="8">
        <f t="shared" si="4"/>
        <v>1</v>
      </c>
      <c r="N18" s="8">
        <f t="shared" si="5"/>
        <v>0</v>
      </c>
      <c r="P18" s="5">
        <f t="shared" si="6"/>
        <v>4</v>
      </c>
      <c r="Q18" s="5">
        <f t="shared" si="7"/>
        <v>3</v>
      </c>
      <c r="R18" s="5">
        <f t="shared" si="8"/>
        <v>4</v>
      </c>
      <c r="S18" s="5">
        <f t="shared" si="9"/>
        <v>4</v>
      </c>
      <c r="T18" s="8">
        <f t="shared" si="10"/>
        <v>2</v>
      </c>
      <c r="U18" s="8">
        <f t="shared" si="11"/>
        <v>0</v>
      </c>
    </row>
    <row r="19" spans="1:21" x14ac:dyDescent="0.3">
      <c r="A19" s="5">
        <v>8</v>
      </c>
      <c r="B19" s="5">
        <v>4</v>
      </c>
      <c r="C19" s="5">
        <v>5</v>
      </c>
      <c r="D19" s="7">
        <v>7</v>
      </c>
      <c r="E19" s="7">
        <v>7</v>
      </c>
      <c r="F19" s="7">
        <v>5</v>
      </c>
      <c r="G19" s="7">
        <v>7</v>
      </c>
      <c r="I19" s="5">
        <f t="shared" si="0"/>
        <v>7</v>
      </c>
      <c r="J19" s="5">
        <f t="shared" si="1"/>
        <v>6</v>
      </c>
      <c r="K19" s="5">
        <f t="shared" si="2"/>
        <v>5</v>
      </c>
      <c r="L19" s="5">
        <f t="shared" si="3"/>
        <v>6</v>
      </c>
      <c r="M19" s="8">
        <f t="shared" si="4"/>
        <v>0</v>
      </c>
      <c r="N19" s="8">
        <f t="shared" si="5"/>
        <v>3</v>
      </c>
      <c r="P19" s="5">
        <f t="shared" si="6"/>
        <v>6</v>
      </c>
      <c r="Q19" s="5">
        <f t="shared" si="7"/>
        <v>6</v>
      </c>
      <c r="R19" s="5">
        <f t="shared" si="8"/>
        <v>4</v>
      </c>
      <c r="S19" s="5">
        <f t="shared" si="9"/>
        <v>5</v>
      </c>
      <c r="T19" s="8">
        <f t="shared" si="10"/>
        <v>0</v>
      </c>
      <c r="U19" s="8">
        <f t="shared" si="11"/>
        <v>3</v>
      </c>
    </row>
    <row r="20" spans="1:21" x14ac:dyDescent="0.3">
      <c r="A20" s="5">
        <v>9</v>
      </c>
      <c r="B20" s="5">
        <v>4</v>
      </c>
      <c r="C20" s="5">
        <v>1</v>
      </c>
      <c r="D20" s="7">
        <v>5</v>
      </c>
      <c r="E20" s="7">
        <v>7</v>
      </c>
      <c r="F20" s="7">
        <v>4</v>
      </c>
      <c r="G20" s="7">
        <v>8</v>
      </c>
      <c r="I20" s="5">
        <f t="shared" si="0"/>
        <v>4</v>
      </c>
      <c r="J20" s="5">
        <f t="shared" si="1"/>
        <v>6</v>
      </c>
      <c r="K20" s="5">
        <f t="shared" si="2"/>
        <v>4</v>
      </c>
      <c r="L20" s="5">
        <f t="shared" si="3"/>
        <v>7</v>
      </c>
      <c r="M20" s="8">
        <f t="shared" si="4"/>
        <v>1</v>
      </c>
      <c r="N20" s="8">
        <f t="shared" si="5"/>
        <v>0</v>
      </c>
      <c r="P20" s="5">
        <f t="shared" si="6"/>
        <v>4</v>
      </c>
      <c r="Q20" s="5">
        <f t="shared" si="7"/>
        <v>5</v>
      </c>
      <c r="R20" s="5">
        <f t="shared" si="8"/>
        <v>3</v>
      </c>
      <c r="S20" s="5">
        <f t="shared" si="9"/>
        <v>6</v>
      </c>
      <c r="T20" s="8">
        <f t="shared" si="10"/>
        <v>1</v>
      </c>
      <c r="U20" s="8">
        <f t="shared" si="11"/>
        <v>2</v>
      </c>
    </row>
    <row r="21" spans="1:21" x14ac:dyDescent="0.3">
      <c r="A21" s="9" t="s">
        <v>23</v>
      </c>
      <c r="B21" s="9"/>
      <c r="C21" s="9"/>
      <c r="D21" s="9"/>
      <c r="E21" s="9"/>
      <c r="F21" s="9"/>
      <c r="G21" s="9"/>
      <c r="I21" s="9"/>
      <c r="J21" s="9"/>
      <c r="K21" s="9"/>
      <c r="L21" s="9"/>
      <c r="M21" s="9">
        <f>SUM(M12:M20)</f>
        <v>9</v>
      </c>
      <c r="N21" s="9">
        <f>SUM(N12:N20)</f>
        <v>7</v>
      </c>
      <c r="P21" s="9"/>
      <c r="Q21" s="9"/>
      <c r="R21" s="9"/>
      <c r="S21" s="9"/>
      <c r="T21" s="9">
        <f>SUM(T12:T20)</f>
        <v>9</v>
      </c>
      <c r="U21" s="9">
        <f>SUM(U12:U20)</f>
        <v>8</v>
      </c>
    </row>
    <row r="22" spans="1:21" x14ac:dyDescent="0.3">
      <c r="A22" s="5">
        <v>10</v>
      </c>
      <c r="B22" s="5">
        <v>4</v>
      </c>
      <c r="C22" s="5">
        <v>2</v>
      </c>
      <c r="D22" s="7">
        <v>4</v>
      </c>
      <c r="E22" s="7">
        <v>6</v>
      </c>
      <c r="F22" s="7">
        <v>5</v>
      </c>
      <c r="G22" s="7">
        <v>5</v>
      </c>
      <c r="I22" s="5">
        <f t="shared" ref="I22:I30" si="12">IF(D22="X","X",D22-(INT(D$7/18)+IF(MOD(D$7,18)&gt;=$C22,1,0)))</f>
        <v>4</v>
      </c>
      <c r="J22" s="5">
        <f t="shared" ref="J22:J30" si="13">IF(E22="X","X",E22-(INT(E$7/18)+IF(MOD(E$7,18)&gt;=$C22,1,0)))</f>
        <v>5</v>
      </c>
      <c r="K22" s="5">
        <f t="shared" ref="K22:K30" si="14">IF(F22="X","X",F22-(INT(F$7/18)+IF(MOD(F$7,18)&gt;=$C22,1,0)))</f>
        <v>5</v>
      </c>
      <c r="L22" s="5">
        <f t="shared" ref="L22:L30" si="15">IF(G22="X","X",G22-(INT(G$7/18)+IF(MOD(G$7,18)&gt;=$C22,1,0)))</f>
        <v>4</v>
      </c>
      <c r="M22" s="8">
        <f t="shared" ref="M22:M30" si="16">IF(MIN(IF(I22="X",99,I22),IF(J22="X",99,J22))&lt;MIN(IF(K22="X",99,K22),IF(L22="X",99,L22)),2,0)+IF(MAX(IF(I22="X",99,I22),IF(J22="X",99,J22))&lt;MAX(IF(K22="X",99,K22),IF(L22="X",99,L22)),1,0)</f>
        <v>0</v>
      </c>
      <c r="N22" s="8">
        <f t="shared" ref="N22:N30" si="17">IF(MIN(IF(K22="X",99,K22),IF(L22="X",99,L22))&lt;MIN(IF(I22="X",99,I22),IF(J22="X",99,J22)),2,0)+IF(MAX(IF(K22="X",99,K22),IF(L22="X",99,L22))&lt;MAX(IF(I22="X",99,I22),IF(J22="X",99,J22)),1,0)</f>
        <v>0</v>
      </c>
      <c r="P22" s="5">
        <f t="shared" ref="P22:P30" si="18">IF(D22="X","X",D22-(INT(D$8/18)+IF(MOD(D$8,18)&gt;=$C22,1,0)))</f>
        <v>3</v>
      </c>
      <c r="Q22" s="5">
        <f t="shared" ref="Q22:Q30" si="19">IF(E22="X","X",E22-(INT(E$8/18)+IF(MOD(E$8,18)&gt;=$C22,1,0)))</f>
        <v>4</v>
      </c>
      <c r="R22" s="5">
        <f t="shared" ref="R22:R30" si="20">IF(F22="X","X",F22-(INT(F$8/18)+IF(MOD(F$8,18)&gt;=$C22,1,0)))</f>
        <v>4</v>
      </c>
      <c r="S22" s="5">
        <f t="shared" ref="S22:S30" si="21">IF(G22="X","X",G22-(INT(G$8/18)+IF(MOD(G$8,18)&gt;=$C22,1,0)))</f>
        <v>3</v>
      </c>
      <c r="T22" s="8">
        <f t="shared" ref="T22:T30" si="22">IF(MIN(IF(P22="X",99,P22),IF(Q22="X",99,Q22))&lt;MIN(IF(R22="X",99,R22),IF(S22="X",99,S22)),2,0)+IF(MAX(IF(P22="X",99,P22),IF(Q22="X",99,Q22))&lt;MAX(IF(R22="X",99,R22),IF(S22="X",99,S22)),1,0)</f>
        <v>0</v>
      </c>
      <c r="U22" s="8">
        <f t="shared" ref="U22:U30" si="23">IF(MIN(IF(R22="X",99,R22),IF(S22="X",99,S22))&lt;MIN(IF(P22="X",99,P22),IF(Q22="X",99,Q22)),2,0)+IF(MAX(IF(R22="X",99,R22),IF(S22="X",99,S22))&lt;MAX(IF(P22="X",99,P22),IF(Q22="X",99,Q22)),1,0)</f>
        <v>0</v>
      </c>
    </row>
    <row r="23" spans="1:21" x14ac:dyDescent="0.3">
      <c r="A23" s="5">
        <v>11</v>
      </c>
      <c r="B23" s="5">
        <v>4</v>
      </c>
      <c r="C23" s="5">
        <v>10</v>
      </c>
      <c r="D23" s="7">
        <v>7</v>
      </c>
      <c r="E23" s="7">
        <v>7</v>
      </c>
      <c r="F23" s="7">
        <v>6</v>
      </c>
      <c r="G23" s="7">
        <v>6</v>
      </c>
      <c r="I23" s="5">
        <f t="shared" si="12"/>
        <v>7</v>
      </c>
      <c r="J23" s="5">
        <f t="shared" si="13"/>
        <v>7</v>
      </c>
      <c r="K23" s="5">
        <f t="shared" si="14"/>
        <v>6</v>
      </c>
      <c r="L23" s="5">
        <f t="shared" si="15"/>
        <v>5</v>
      </c>
      <c r="M23" s="8">
        <f t="shared" si="16"/>
        <v>0</v>
      </c>
      <c r="N23" s="8">
        <f t="shared" si="17"/>
        <v>3</v>
      </c>
      <c r="P23" s="5">
        <f t="shared" si="18"/>
        <v>6</v>
      </c>
      <c r="Q23" s="5">
        <f t="shared" si="19"/>
        <v>6</v>
      </c>
      <c r="R23" s="5">
        <f t="shared" si="20"/>
        <v>5</v>
      </c>
      <c r="S23" s="5">
        <f t="shared" si="21"/>
        <v>5</v>
      </c>
      <c r="T23" s="8">
        <f t="shared" si="22"/>
        <v>0</v>
      </c>
      <c r="U23" s="8">
        <f t="shared" si="23"/>
        <v>3</v>
      </c>
    </row>
    <row r="24" spans="1:21" x14ac:dyDescent="0.3">
      <c r="A24" s="5">
        <v>12</v>
      </c>
      <c r="B24" s="5">
        <v>3</v>
      </c>
      <c r="C24" s="5">
        <v>12</v>
      </c>
      <c r="D24" s="7" t="s">
        <v>22</v>
      </c>
      <c r="E24" s="7">
        <v>7</v>
      </c>
      <c r="F24" s="7">
        <v>4</v>
      </c>
      <c r="G24" s="7">
        <v>4</v>
      </c>
      <c r="I24" s="5" t="str">
        <f t="shared" si="12"/>
        <v>X</v>
      </c>
      <c r="J24" s="5">
        <f t="shared" si="13"/>
        <v>7</v>
      </c>
      <c r="K24" s="5">
        <f t="shared" si="14"/>
        <v>4</v>
      </c>
      <c r="L24" s="5">
        <f t="shared" si="15"/>
        <v>3</v>
      </c>
      <c r="M24" s="8">
        <f t="shared" si="16"/>
        <v>0</v>
      </c>
      <c r="N24" s="8">
        <f t="shared" si="17"/>
        <v>3</v>
      </c>
      <c r="P24" s="5" t="str">
        <f t="shared" si="18"/>
        <v>X</v>
      </c>
      <c r="Q24" s="5">
        <f t="shared" si="19"/>
        <v>6</v>
      </c>
      <c r="R24" s="5">
        <f t="shared" si="20"/>
        <v>3</v>
      </c>
      <c r="S24" s="5">
        <f t="shared" si="21"/>
        <v>3</v>
      </c>
      <c r="T24" s="8">
        <f t="shared" si="22"/>
        <v>0</v>
      </c>
      <c r="U24" s="8">
        <f t="shared" si="23"/>
        <v>3</v>
      </c>
    </row>
    <row r="25" spans="1:21" x14ac:dyDescent="0.3">
      <c r="A25" s="5">
        <v>13</v>
      </c>
      <c r="B25" s="5">
        <v>4</v>
      </c>
      <c r="C25" s="5">
        <v>16</v>
      </c>
      <c r="D25" s="7">
        <v>5</v>
      </c>
      <c r="E25" s="7">
        <v>5</v>
      </c>
      <c r="F25" s="7">
        <v>5</v>
      </c>
      <c r="G25" s="7">
        <v>6</v>
      </c>
      <c r="I25" s="5">
        <f t="shared" si="12"/>
        <v>5</v>
      </c>
      <c r="J25" s="5">
        <f t="shared" si="13"/>
        <v>5</v>
      </c>
      <c r="K25" s="5">
        <f t="shared" si="14"/>
        <v>5</v>
      </c>
      <c r="L25" s="5">
        <f t="shared" si="15"/>
        <v>6</v>
      </c>
      <c r="M25" s="8">
        <f t="shared" si="16"/>
        <v>1</v>
      </c>
      <c r="N25" s="8">
        <f t="shared" si="17"/>
        <v>0</v>
      </c>
      <c r="P25" s="5">
        <f t="shared" si="18"/>
        <v>5</v>
      </c>
      <c r="Q25" s="5">
        <f t="shared" si="19"/>
        <v>4</v>
      </c>
      <c r="R25" s="5">
        <f t="shared" si="20"/>
        <v>5</v>
      </c>
      <c r="S25" s="5">
        <f t="shared" si="21"/>
        <v>5</v>
      </c>
      <c r="T25" s="8">
        <f t="shared" si="22"/>
        <v>2</v>
      </c>
      <c r="U25" s="8">
        <f t="shared" si="23"/>
        <v>0</v>
      </c>
    </row>
    <row r="26" spans="1:21" x14ac:dyDescent="0.3">
      <c r="A26" s="5">
        <v>14</v>
      </c>
      <c r="B26" s="5">
        <v>5</v>
      </c>
      <c r="C26" s="5">
        <v>18</v>
      </c>
      <c r="D26" s="7">
        <v>5</v>
      </c>
      <c r="E26" s="7">
        <v>5</v>
      </c>
      <c r="F26" s="7">
        <v>5</v>
      </c>
      <c r="G26" s="7">
        <v>7</v>
      </c>
      <c r="I26" s="5">
        <f t="shared" si="12"/>
        <v>5</v>
      </c>
      <c r="J26" s="5">
        <f t="shared" si="13"/>
        <v>5</v>
      </c>
      <c r="K26" s="5">
        <f t="shared" si="14"/>
        <v>5</v>
      </c>
      <c r="L26" s="5">
        <f t="shared" si="15"/>
        <v>7</v>
      </c>
      <c r="M26" s="8">
        <f t="shared" si="16"/>
        <v>1</v>
      </c>
      <c r="N26" s="8">
        <f t="shared" si="17"/>
        <v>0</v>
      </c>
      <c r="P26" s="5">
        <f t="shared" si="18"/>
        <v>5</v>
      </c>
      <c r="Q26" s="5">
        <f t="shared" si="19"/>
        <v>4</v>
      </c>
      <c r="R26" s="5">
        <f t="shared" si="20"/>
        <v>5</v>
      </c>
      <c r="S26" s="5">
        <f t="shared" si="21"/>
        <v>6</v>
      </c>
      <c r="T26" s="8">
        <f t="shared" si="22"/>
        <v>3</v>
      </c>
      <c r="U26" s="8">
        <f t="shared" si="23"/>
        <v>0</v>
      </c>
    </row>
    <row r="27" spans="1:21" x14ac:dyDescent="0.3">
      <c r="A27" s="5">
        <v>15</v>
      </c>
      <c r="B27" s="5">
        <v>3</v>
      </c>
      <c r="C27" s="5">
        <v>8</v>
      </c>
      <c r="D27" s="7">
        <v>4</v>
      </c>
      <c r="E27" s="7">
        <v>4</v>
      </c>
      <c r="F27" s="7">
        <v>3</v>
      </c>
      <c r="G27" s="7">
        <v>4</v>
      </c>
      <c r="I27" s="5">
        <f t="shared" si="12"/>
        <v>4</v>
      </c>
      <c r="J27" s="5">
        <f t="shared" si="13"/>
        <v>3</v>
      </c>
      <c r="K27" s="5">
        <f t="shared" si="14"/>
        <v>3</v>
      </c>
      <c r="L27" s="5">
        <f t="shared" si="15"/>
        <v>3</v>
      </c>
      <c r="M27" s="8">
        <f t="shared" si="16"/>
        <v>0</v>
      </c>
      <c r="N27" s="8">
        <f t="shared" si="17"/>
        <v>1</v>
      </c>
      <c r="P27" s="5">
        <f t="shared" si="18"/>
        <v>3</v>
      </c>
      <c r="Q27" s="5">
        <f t="shared" si="19"/>
        <v>3</v>
      </c>
      <c r="R27" s="5">
        <f t="shared" si="20"/>
        <v>2</v>
      </c>
      <c r="S27" s="5">
        <f t="shared" si="21"/>
        <v>3</v>
      </c>
      <c r="T27" s="8">
        <f t="shared" si="22"/>
        <v>0</v>
      </c>
      <c r="U27" s="8">
        <f t="shared" si="23"/>
        <v>2</v>
      </c>
    </row>
    <row r="28" spans="1:21" x14ac:dyDescent="0.3">
      <c r="A28" s="5">
        <v>16</v>
      </c>
      <c r="B28" s="5">
        <v>5</v>
      </c>
      <c r="C28" s="5">
        <v>14</v>
      </c>
      <c r="D28" s="7">
        <v>5</v>
      </c>
      <c r="E28" s="7">
        <v>6</v>
      </c>
      <c r="F28" s="7">
        <v>5</v>
      </c>
      <c r="G28" s="7">
        <v>8</v>
      </c>
      <c r="I28" s="5">
        <f t="shared" si="12"/>
        <v>5</v>
      </c>
      <c r="J28" s="5">
        <f t="shared" si="13"/>
        <v>6</v>
      </c>
      <c r="K28" s="5">
        <f t="shared" si="14"/>
        <v>5</v>
      </c>
      <c r="L28" s="5">
        <f t="shared" si="15"/>
        <v>8</v>
      </c>
      <c r="M28" s="8">
        <f t="shared" si="16"/>
        <v>1</v>
      </c>
      <c r="N28" s="8">
        <f t="shared" si="17"/>
        <v>0</v>
      </c>
      <c r="P28" s="5">
        <f t="shared" si="18"/>
        <v>5</v>
      </c>
      <c r="Q28" s="5">
        <f t="shared" si="19"/>
        <v>5</v>
      </c>
      <c r="R28" s="5">
        <f t="shared" si="20"/>
        <v>5</v>
      </c>
      <c r="S28" s="5">
        <f t="shared" si="21"/>
        <v>7</v>
      </c>
      <c r="T28" s="8">
        <f t="shared" si="22"/>
        <v>1</v>
      </c>
      <c r="U28" s="8">
        <f t="shared" si="23"/>
        <v>0</v>
      </c>
    </row>
    <row r="29" spans="1:21" x14ac:dyDescent="0.3">
      <c r="A29" s="5">
        <v>17</v>
      </c>
      <c r="B29" s="5">
        <v>4</v>
      </c>
      <c r="C29" s="5">
        <v>4</v>
      </c>
      <c r="D29" s="7">
        <v>7</v>
      </c>
      <c r="E29" s="7">
        <v>7</v>
      </c>
      <c r="F29" s="7">
        <v>5</v>
      </c>
      <c r="G29" s="7">
        <v>5</v>
      </c>
      <c r="I29" s="5">
        <f t="shared" si="12"/>
        <v>7</v>
      </c>
      <c r="J29" s="5">
        <f t="shared" si="13"/>
        <v>6</v>
      </c>
      <c r="K29" s="5">
        <f t="shared" si="14"/>
        <v>5</v>
      </c>
      <c r="L29" s="5">
        <f t="shared" si="15"/>
        <v>4</v>
      </c>
      <c r="M29" s="8">
        <f t="shared" si="16"/>
        <v>0</v>
      </c>
      <c r="N29" s="8">
        <f t="shared" si="17"/>
        <v>3</v>
      </c>
      <c r="P29" s="5">
        <f t="shared" si="18"/>
        <v>6</v>
      </c>
      <c r="Q29" s="5">
        <f t="shared" si="19"/>
        <v>6</v>
      </c>
      <c r="R29" s="5">
        <f t="shared" si="20"/>
        <v>4</v>
      </c>
      <c r="S29" s="5">
        <f t="shared" si="21"/>
        <v>3</v>
      </c>
      <c r="T29" s="8">
        <f t="shared" si="22"/>
        <v>0</v>
      </c>
      <c r="U29" s="8">
        <f t="shared" si="23"/>
        <v>3</v>
      </c>
    </row>
    <row r="30" spans="1:21" x14ac:dyDescent="0.3">
      <c r="A30" s="5">
        <v>18</v>
      </c>
      <c r="B30" s="5">
        <v>5</v>
      </c>
      <c r="C30" s="5">
        <v>6</v>
      </c>
      <c r="D30" s="7">
        <v>6</v>
      </c>
      <c r="E30" s="7">
        <v>7</v>
      </c>
      <c r="F30" s="7">
        <v>8</v>
      </c>
      <c r="G30" s="7">
        <v>7</v>
      </c>
      <c r="I30" s="5">
        <f t="shared" si="12"/>
        <v>6</v>
      </c>
      <c r="J30" s="5">
        <f t="shared" si="13"/>
        <v>6</v>
      </c>
      <c r="K30" s="5">
        <f t="shared" si="14"/>
        <v>8</v>
      </c>
      <c r="L30" s="5">
        <f t="shared" si="15"/>
        <v>6</v>
      </c>
      <c r="M30" s="8">
        <f t="shared" si="16"/>
        <v>1</v>
      </c>
      <c r="N30" s="8">
        <f t="shared" si="17"/>
        <v>0</v>
      </c>
      <c r="P30" s="5">
        <f t="shared" si="18"/>
        <v>5</v>
      </c>
      <c r="Q30" s="5">
        <f t="shared" si="19"/>
        <v>6</v>
      </c>
      <c r="R30" s="5">
        <f t="shared" si="20"/>
        <v>7</v>
      </c>
      <c r="S30" s="5">
        <f t="shared" si="21"/>
        <v>5</v>
      </c>
      <c r="T30" s="8">
        <f t="shared" si="22"/>
        <v>1</v>
      </c>
      <c r="U30" s="8">
        <f t="shared" si="23"/>
        <v>0</v>
      </c>
    </row>
    <row r="31" spans="1:21" x14ac:dyDescent="0.3">
      <c r="A31" s="9" t="s">
        <v>24</v>
      </c>
      <c r="B31" s="9"/>
      <c r="C31" s="9"/>
      <c r="D31" s="9"/>
      <c r="E31" s="9"/>
      <c r="F31" s="9"/>
      <c r="G31" s="9"/>
      <c r="I31" s="9"/>
      <c r="J31" s="9"/>
      <c r="K31" s="9"/>
      <c r="L31" s="9"/>
      <c r="M31" s="9">
        <f>SUM(M22:M30)</f>
        <v>4</v>
      </c>
      <c r="N31" s="9">
        <f>SUM(N22:N30)</f>
        <v>10</v>
      </c>
      <c r="P31" s="9"/>
      <c r="Q31" s="9"/>
      <c r="R31" s="9"/>
      <c r="S31" s="9"/>
      <c r="T31" s="9">
        <f>SUM(T22:T30)</f>
        <v>7</v>
      </c>
      <c r="U31" s="9">
        <f>SUM(U22:U30)</f>
        <v>11</v>
      </c>
    </row>
    <row r="32" spans="1:21" x14ac:dyDescent="0.3">
      <c r="A32" s="9" t="s">
        <v>25</v>
      </c>
      <c r="B32" s="9"/>
      <c r="C32" s="9"/>
      <c r="D32" s="9"/>
      <c r="E32" s="9"/>
      <c r="F32" s="9"/>
      <c r="G32" s="9"/>
      <c r="I32" s="9"/>
      <c r="J32" s="9"/>
      <c r="K32" s="9"/>
      <c r="L32" s="9"/>
      <c r="M32" s="9">
        <f>SUM(M12:M20)+SUM(M22:M30)</f>
        <v>13</v>
      </c>
      <c r="N32" s="9">
        <f>SUM(N12:N20)+SUM(N22:N30)</f>
        <v>17</v>
      </c>
      <c r="P32" s="9"/>
      <c r="Q32" s="9"/>
      <c r="R32" s="9"/>
      <c r="S32" s="9"/>
      <c r="T32" s="9">
        <f>SUM(T12:T20)+SUM(T22:T30)</f>
        <v>16</v>
      </c>
      <c r="U32" s="9">
        <f>SUM(U12:U20)+SUM(U22:U30)</f>
        <v>19</v>
      </c>
    </row>
    <row r="34" spans="1:19" x14ac:dyDescent="0.3">
      <c r="C34" s="10" t="s">
        <v>26</v>
      </c>
      <c r="I34" s="28" t="s">
        <v>27</v>
      </c>
      <c r="J34" s="26"/>
      <c r="K34" s="26"/>
      <c r="L34" s="26"/>
      <c r="P34" s="27" t="s">
        <v>28</v>
      </c>
      <c r="Q34" s="26"/>
      <c r="R34" s="26"/>
      <c r="S34" s="26"/>
    </row>
    <row r="35" spans="1:19" x14ac:dyDescent="0.3">
      <c r="C35" s="3" t="s">
        <v>29</v>
      </c>
      <c r="I35" s="25" t="str">
        <f>IF(M21-N21&gt;0,"A +"&amp;(M21-N21),IF(M21-N21&lt;0,"B +"&amp;(N21-M21),"Empate"))</f>
        <v>A +2</v>
      </c>
      <c r="J35" s="26"/>
      <c r="K35" s="26"/>
      <c r="L35" s="26"/>
      <c r="P35" s="25" t="str">
        <f>IF(T21-U21&gt;0,"A +"&amp;(T21-U21),IF(T21-U21&lt;0,"B +"&amp;(U21-T21),"Empate"))</f>
        <v>A +1</v>
      </c>
      <c r="Q35" s="26"/>
      <c r="R35" s="26"/>
      <c r="S35" s="26"/>
    </row>
    <row r="36" spans="1:19" x14ac:dyDescent="0.3">
      <c r="C36" s="3" t="s">
        <v>30</v>
      </c>
      <c r="I36" s="25" t="str">
        <f>IF(M31-N31&gt;0,"A +"&amp;(M31-N31),IF(M31-N31&lt;0,"B +"&amp;(N31-M31),"Empate"))</f>
        <v>B +6</v>
      </c>
      <c r="J36" s="26"/>
      <c r="K36" s="26"/>
      <c r="L36" s="26"/>
      <c r="P36" s="25" t="str">
        <f>IF(T31-U31&gt;0,"A +"&amp;(T31-U31),IF(T31-U31&lt;0,"B +"&amp;(U31-T31),"Empate"))</f>
        <v>B +4</v>
      </c>
      <c r="Q36" s="26"/>
      <c r="R36" s="26"/>
      <c r="S36" s="26"/>
    </row>
    <row r="37" spans="1:19" x14ac:dyDescent="0.3">
      <c r="C37" s="3" t="s">
        <v>31</v>
      </c>
      <c r="I37" s="25" t="str">
        <f>IF(M32-N32&gt;0,"A +"&amp;(M32-N32),IF(M32-N32&lt;0,"B +"&amp;(N32-M32),"Empate"))</f>
        <v>B +4</v>
      </c>
      <c r="J37" s="26"/>
      <c r="K37" s="26"/>
      <c r="L37" s="26"/>
      <c r="P37" s="25" t="str">
        <f>IF(T32-U32&gt;0,"A +"&amp;(T32-U32),IF(T32-U32&lt;0,"B +"&amp;(U32-T32),"Empate"))</f>
        <v>B +3</v>
      </c>
      <c r="Q37" s="26"/>
      <c r="R37" s="26"/>
      <c r="S37" s="26"/>
    </row>
    <row r="39" spans="1:19" x14ac:dyDescent="0.3">
      <c r="A39" s="2" t="s">
        <v>32</v>
      </c>
    </row>
    <row r="40" spans="1:19" x14ac:dyDescent="0.3">
      <c r="A40" s="2" t="s">
        <v>33</v>
      </c>
    </row>
  </sheetData>
  <mergeCells count="13">
    <mergeCell ref="D4:E4"/>
    <mergeCell ref="D10:G10"/>
    <mergeCell ref="I37:L37"/>
    <mergeCell ref="F4:G4"/>
    <mergeCell ref="I36:L36"/>
    <mergeCell ref="P37:S37"/>
    <mergeCell ref="P10:U10"/>
    <mergeCell ref="P36:S36"/>
    <mergeCell ref="I10:N10"/>
    <mergeCell ref="I34:L34"/>
    <mergeCell ref="I35:L35"/>
    <mergeCell ref="P34:S34"/>
    <mergeCell ref="P35:S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Fourball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A. Marseillan</cp:lastModifiedBy>
  <dcterms:created xsi:type="dcterms:W3CDTF">2026-10-17T14:08:23Z</dcterms:created>
  <dcterms:modified xsi:type="dcterms:W3CDTF">2026-10-17T15:30:53Z</dcterms:modified>
</cp:coreProperties>
</file>